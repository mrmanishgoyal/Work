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nluser\Documents\sfdc-1\FWCreation\src\main\java\testData\"/>
    </mc:Choice>
  </mc:AlternateContent>
  <xr:revisionPtr revIDLastSave="0" documentId="13_ncr:1_{9D475F6F-C19F-47B3-B7D0-F2EE8625B254}" xr6:coauthVersionLast="47" xr6:coauthVersionMax="47" xr10:uidLastSave="{00000000-0000-0000-0000-000000000000}"/>
  <bookViews>
    <workbookView xWindow="-120" yWindow="-120" windowWidth="20730" windowHeight="11280" tabRatio="877" xr2:uid="{57B475E0-3723-4448-8A18-FC83FCF2125A}"/>
  </bookViews>
  <sheets>
    <sheet name="Overall Status" sheetId="1" r:id="rId1"/>
    <sheet name="Account_PE" sheetId="3" r:id="rId2"/>
    <sheet name="Case_PE" sheetId="13" r:id="rId3"/>
    <sheet name="Task_PE" sheetId="23" r:id="rId4"/>
    <sheet name="Account_Mentor" sheetId="9" r:id="rId5"/>
    <sheet name="Case_Mentor" sheetId="14" r:id="rId6"/>
    <sheet name="Task_Mentor" sheetId="24" r:id="rId7"/>
    <sheet name="Account_Retention" sheetId="10" r:id="rId8"/>
    <sheet name="Case_Retention" sheetId="15" r:id="rId9"/>
    <sheet name="Account_RetentionM" sheetId="25" r:id="rId10"/>
    <sheet name="Case_RetentionM" sheetId="26" r:id="rId11"/>
    <sheet name="Account_BLC" sheetId="11" r:id="rId12"/>
    <sheet name="Case_BLC" sheetId="16" r:id="rId13"/>
    <sheet name="Account_CS" sheetId="12" r:id="rId14"/>
    <sheet name="Case_CS" sheetId="17" r:id="rId15"/>
    <sheet name="Account_PS" sheetId="18" r:id="rId16"/>
    <sheet name="Case_PS" sheetId="19" r:id="rId17"/>
    <sheet name="Case_Logistic" sheetId="20" r:id="rId18"/>
    <sheet name="Case_OPT" sheetId="21" r:id="rId19"/>
    <sheet name="Case_OCT" sheetId="22" r:id="rId20"/>
  </sheets>
  <definedNames>
    <definedName name="_xlnm._FilterDatabase" localSheetId="0" hidden="1">'Overall Status'!$A$1:$B$20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<sst xmlns="http://schemas.openxmlformats.org/spreadsheetml/2006/main" count="312" uniqueCount="60">
  <si>
    <t>Module</t>
  </si>
  <si>
    <t>Status</t>
  </si>
  <si>
    <t>Mobile Cards</t>
  </si>
  <si>
    <t>Values</t>
  </si>
  <si>
    <t>Student Orders</t>
  </si>
  <si>
    <t>Student Payments</t>
  </si>
  <si>
    <t>Surveys Taken</t>
  </si>
  <si>
    <t>Student App Informations</t>
  </si>
  <si>
    <t>Student Programs</t>
  </si>
  <si>
    <t>Cases</t>
  </si>
  <si>
    <t>CallDetails</t>
  </si>
  <si>
    <t>Exam Details</t>
  </si>
  <si>
    <t>Student Classroom Associations</t>
  </si>
  <si>
    <t>Quick Action buttons</t>
  </si>
  <si>
    <t>Show more buttons</t>
  </si>
  <si>
    <t>Create Case</t>
  </si>
  <si>
    <t>Start Outbound Chat</t>
  </si>
  <si>
    <t>TLLMS Dashboard</t>
  </si>
  <si>
    <t>Send SMS</t>
  </si>
  <si>
    <t>Send WhatsApp</t>
  </si>
  <si>
    <t>Punch Order</t>
  </si>
  <si>
    <t>Edit</t>
  </si>
  <si>
    <t>Delete</t>
  </si>
  <si>
    <t>Get Survey Invitation</t>
  </si>
  <si>
    <t>Person Account History</t>
  </si>
  <si>
    <t>Account_PE</t>
  </si>
  <si>
    <t>Account_Mentor</t>
  </si>
  <si>
    <t>Account_Retention</t>
  </si>
  <si>
    <t>Account_BLC</t>
  </si>
  <si>
    <t>Account_CS</t>
  </si>
  <si>
    <t>Case_PE</t>
  </si>
  <si>
    <t>Case_Mentor</t>
  </si>
  <si>
    <t>Case_Retention</t>
  </si>
  <si>
    <t>Case_BLC</t>
  </si>
  <si>
    <t>Case_CS</t>
  </si>
  <si>
    <t>New</t>
  </si>
  <si>
    <t>Mass Close Case</t>
  </si>
  <si>
    <t>Change Owner</t>
  </si>
  <si>
    <t>Merge Cases</t>
  </si>
  <si>
    <t>Run Retention Assignment</t>
  </si>
  <si>
    <t>Update Case</t>
  </si>
  <si>
    <t>Account_PS</t>
  </si>
  <si>
    <t>Case_PS</t>
  </si>
  <si>
    <t>Capture Retention Details</t>
  </si>
  <si>
    <t>Open CSO: Order</t>
  </si>
  <si>
    <t>Take Action</t>
  </si>
  <si>
    <t>Case_Logistic</t>
  </si>
  <si>
    <t>Case_OPT</t>
  </si>
  <si>
    <t>EFA LIG Action</t>
  </si>
  <si>
    <t>Case_OCT</t>
  </si>
  <si>
    <t>Capture Call Details</t>
  </si>
  <si>
    <t>Task_PE</t>
  </si>
  <si>
    <t>Task_Mentor</t>
  </si>
  <si>
    <t>Quick Action buttons- Created Case</t>
  </si>
  <si>
    <t>Account_RetentionM</t>
  </si>
  <si>
    <t>Case_RetentionM</t>
  </si>
  <si>
    <t>Update User Details</t>
  </si>
  <si>
    <t>Student School Informations</t>
  </si>
  <si>
    <t>Tutor Feedback Event</t>
  </si>
  <si>
    <t>Sessions_Information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</si>
</sst>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1" xfId="0" applyBorder="1"/>
    <xf numFmtId="0" fontId="1" fillId="0" borderId="1" xfId="1" applyBorder="1"/>
  </cellXfs>
  <cellStyles count="2">
    <cellStyle name="Hyperlink" xfId="1" builtinId="8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9525</xdr:rowOff>
    </xdr:from>
    <xdr:to>
      <xdr:col>5</xdr:col>
      <xdr:colOff>66675</xdr:colOff>
      <xdr:row>1</xdr:row>
      <xdr:rowOff>95250</xdr:rowOff>
    </xdr:to>
    <xdr:sp macro="[0]!ClearValueOnlyPE" textlink="">
      <xdr:nvSpPr>
        <xdr:cNvPr id="2" name="Rectangle 1">
          <a:extLst>
            <a:ext uri="{FF2B5EF4-FFF2-40B4-BE49-F238E27FC236}">
              <a16:creationId xmlns:a16="http://schemas.microsoft.com/office/drawing/2014/main" id="{1006732E-4A87-7068-78C4-8A9D6A1097D3}"/>
            </a:ext>
          </a:extLst>
        </xdr:cNvPr>
        <xdr:cNvSpPr/>
      </xdr:nvSpPr>
      <xdr:spPr>
        <a:xfrm>
          <a:off x="3324225" y="9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PE	</a:t>
          </a:r>
        </a:p>
      </xdr:txBody>
    </xdr:sp>
    <xdr:clientData/>
  </xdr:twoCellAnchor>
  <xdr:twoCellAnchor>
    <xdr:from>
      <xdr:col>8</xdr:col>
      <xdr:colOff>19050</xdr:colOff>
      <xdr:row>0</xdr:row>
      <xdr:rowOff>9525</xdr:rowOff>
    </xdr:from>
    <xdr:to>
      <xdr:col>11</xdr:col>
      <xdr:colOff>28575</xdr:colOff>
      <xdr:row>1</xdr:row>
      <xdr:rowOff>95250</xdr:rowOff>
    </xdr:to>
    <xdr:sp macro="[0]!ClearValueOnlyRetention" textlink="">
      <xdr:nvSpPr>
        <xdr:cNvPr id="4" name="Rectangle 3">
          <a:extLst>
            <a:ext uri="{FF2B5EF4-FFF2-40B4-BE49-F238E27FC236}">
              <a16:creationId xmlns:a16="http://schemas.microsoft.com/office/drawing/2014/main" id="{14F71A14-56E8-4E8F-AD19-4496E1A2F712}"/>
            </a:ext>
          </a:extLst>
        </xdr:cNvPr>
        <xdr:cNvSpPr/>
      </xdr:nvSpPr>
      <xdr:spPr>
        <a:xfrm>
          <a:off x="6486525" y="9525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Retention</a:t>
          </a:r>
        </a:p>
      </xdr:txBody>
    </xdr:sp>
    <xdr:clientData/>
  </xdr:twoCellAnchor>
  <xdr:twoCellAnchor>
    <xdr:from>
      <xdr:col>3</xdr:col>
      <xdr:colOff>0</xdr:colOff>
      <xdr:row>0</xdr:row>
      <xdr:rowOff>9525</xdr:rowOff>
    </xdr:from>
    <xdr:to>
      <xdr:col>5</xdr:col>
      <xdr:colOff>66675</xdr:colOff>
      <xdr:row>1</xdr:row>
      <xdr:rowOff>95250</xdr:rowOff>
    </xdr:to>
    <xdr:sp macro="[0]!ClearValueOnlyPE" textlink="">
      <xdr:nvSpPr>
        <xdr:cNvPr id="7" name="Rectangle 6">
          <a:extLst>
            <a:ext uri="{FF2B5EF4-FFF2-40B4-BE49-F238E27FC236}">
              <a16:creationId xmlns:a16="http://schemas.microsoft.com/office/drawing/2014/main" id="{22B2C41A-1846-4BEE-A58C-A87F3DD6F41E}"/>
            </a:ext>
          </a:extLst>
        </xdr:cNvPr>
        <xdr:cNvSpPr/>
      </xdr:nvSpPr>
      <xdr:spPr>
        <a:xfrm>
          <a:off x="3324225" y="9525"/>
          <a:ext cx="1285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PE	</a:t>
          </a:r>
        </a:p>
      </xdr:txBody>
    </xdr:sp>
    <xdr:clientData/>
  </xdr:twoCellAnchor>
  <xdr:twoCellAnchor>
    <xdr:from>
      <xdr:col>5</xdr:col>
      <xdr:colOff>123825</xdr:colOff>
      <xdr:row>0</xdr:row>
      <xdr:rowOff>9525</xdr:rowOff>
    </xdr:from>
    <xdr:to>
      <xdr:col>7</xdr:col>
      <xdr:colOff>571500</xdr:colOff>
      <xdr:row>1</xdr:row>
      <xdr:rowOff>95250</xdr:rowOff>
    </xdr:to>
    <xdr:sp macro="[0]!ClearValueOnlyMentor" textlink="">
      <xdr:nvSpPr>
        <xdr:cNvPr id="8" name="Rectangle 7">
          <a:extLst>
            <a:ext uri="{FF2B5EF4-FFF2-40B4-BE49-F238E27FC236}">
              <a16:creationId xmlns:a16="http://schemas.microsoft.com/office/drawing/2014/main" id="{ECBB67AF-2020-4563-B843-4EEA838B2DEB}"/>
            </a:ext>
          </a:extLst>
        </xdr:cNvPr>
        <xdr:cNvSpPr/>
      </xdr:nvSpPr>
      <xdr:spPr>
        <a:xfrm>
          <a:off x="4667250" y="9525"/>
          <a:ext cx="1666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Mentor</a:t>
          </a:r>
        </a:p>
        <a:p>
          <a:pPr algn="l"/>
          <a:endParaRPr lang="en-IN" sz="1100"/>
        </a:p>
      </xdr:txBody>
    </xdr:sp>
    <xdr:clientData/>
  </xdr:twoCellAnchor>
  <xdr:twoCellAnchor>
    <xdr:from>
      <xdr:col>14</xdr:col>
      <xdr:colOff>161925</xdr:colOff>
      <xdr:row>0</xdr:row>
      <xdr:rowOff>9525</xdr:rowOff>
    </xdr:from>
    <xdr:to>
      <xdr:col>16</xdr:col>
      <xdr:colOff>381000</xdr:colOff>
      <xdr:row>1</xdr:row>
      <xdr:rowOff>66675</xdr:rowOff>
    </xdr:to>
    <xdr:sp macro="[0]!ClearValueOnlyBLC" textlink="">
      <xdr:nvSpPr>
        <xdr:cNvPr id="10" name="Rectangle 9">
          <a:extLst>
            <a:ext uri="{FF2B5EF4-FFF2-40B4-BE49-F238E27FC236}">
              <a16:creationId xmlns:a16="http://schemas.microsoft.com/office/drawing/2014/main" id="{860ED8B1-D2E8-4246-BE1F-8CD22F82332C}"/>
            </a:ext>
          </a:extLst>
        </xdr:cNvPr>
        <xdr:cNvSpPr/>
      </xdr:nvSpPr>
      <xdr:spPr>
        <a:xfrm>
          <a:off x="10287000" y="9525"/>
          <a:ext cx="14382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BLC</a:t>
          </a:r>
        </a:p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5</xdr:col>
      <xdr:colOff>66675</xdr:colOff>
      <xdr:row>2</xdr:row>
      <xdr:rowOff>247650</xdr:rowOff>
    </xdr:to>
    <xdr:sp macro="[0]!ClearValueOnlyCS" textlink="">
      <xdr:nvSpPr>
        <xdr:cNvPr id="11" name="Rectangle 10">
          <a:extLst>
            <a:ext uri="{FF2B5EF4-FFF2-40B4-BE49-F238E27FC236}">
              <a16:creationId xmlns:a16="http://schemas.microsoft.com/office/drawing/2014/main" id="{3A619250-23EE-4B25-9A60-17E21BB37A19}"/>
            </a:ext>
          </a:extLst>
        </xdr:cNvPr>
        <xdr:cNvSpPr/>
      </xdr:nvSpPr>
      <xdr:spPr>
        <a:xfrm>
          <a:off x="3419475" y="381000"/>
          <a:ext cx="12858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CS</a:t>
          </a:r>
        </a:p>
      </xdr:txBody>
    </xdr:sp>
    <xdr:clientData/>
  </xdr:twoCellAnchor>
  <xdr:twoCellAnchor>
    <xdr:from>
      <xdr:col>5</xdr:col>
      <xdr:colOff>123825</xdr:colOff>
      <xdr:row>2</xdr:row>
      <xdr:rowOff>0</xdr:rowOff>
    </xdr:from>
    <xdr:to>
      <xdr:col>7</xdr:col>
      <xdr:colOff>190500</xdr:colOff>
      <xdr:row>2</xdr:row>
      <xdr:rowOff>247650</xdr:rowOff>
    </xdr:to>
    <xdr:sp macro="[0]!ClearValueOnlyPS" textlink="">
      <xdr:nvSpPr>
        <xdr:cNvPr id="12" name="Rectangle 11">
          <a:extLst>
            <a:ext uri="{FF2B5EF4-FFF2-40B4-BE49-F238E27FC236}">
              <a16:creationId xmlns:a16="http://schemas.microsoft.com/office/drawing/2014/main" id="{A14B7E41-219E-4317-BE55-98FE636B953E}"/>
            </a:ext>
          </a:extLst>
        </xdr:cNvPr>
        <xdr:cNvSpPr/>
      </xdr:nvSpPr>
      <xdr:spPr>
        <a:xfrm>
          <a:off x="4762500" y="381000"/>
          <a:ext cx="12858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PS</a:t>
          </a:r>
        </a:p>
      </xdr:txBody>
    </xdr:sp>
    <xdr:clientData/>
  </xdr:twoCellAnchor>
  <xdr:twoCellAnchor>
    <xdr:from>
      <xdr:col>7</xdr:col>
      <xdr:colOff>285750</xdr:colOff>
      <xdr:row>2</xdr:row>
      <xdr:rowOff>9525</xdr:rowOff>
    </xdr:from>
    <xdr:to>
      <xdr:col>10</xdr:col>
      <xdr:colOff>133350</xdr:colOff>
      <xdr:row>3</xdr:row>
      <xdr:rowOff>0</xdr:rowOff>
    </xdr:to>
    <xdr:sp macro="[0]!ClearValueOnlyLogistic" textlink="">
      <xdr:nvSpPr>
        <xdr:cNvPr id="9" name="Rectangle 8">
          <a:extLst>
            <a:ext uri="{FF2B5EF4-FFF2-40B4-BE49-F238E27FC236}">
              <a16:creationId xmlns:a16="http://schemas.microsoft.com/office/drawing/2014/main" id="{0A2A8CC2-E93D-4E6E-B3EF-5F8F34C50568}"/>
            </a:ext>
          </a:extLst>
        </xdr:cNvPr>
        <xdr:cNvSpPr/>
      </xdr:nvSpPr>
      <xdr:spPr>
        <a:xfrm>
          <a:off x="6143625" y="390525"/>
          <a:ext cx="16764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Logistic</a:t>
          </a:r>
        </a:p>
      </xdr:txBody>
    </xdr:sp>
    <xdr:clientData/>
  </xdr:twoCellAnchor>
  <xdr:twoCellAnchor>
    <xdr:from>
      <xdr:col>10</xdr:col>
      <xdr:colOff>190500</xdr:colOff>
      <xdr:row>2</xdr:row>
      <xdr:rowOff>9525</xdr:rowOff>
    </xdr:from>
    <xdr:to>
      <xdr:col>12</xdr:col>
      <xdr:colOff>323850</xdr:colOff>
      <xdr:row>3</xdr:row>
      <xdr:rowOff>0</xdr:rowOff>
    </xdr:to>
    <xdr:sp macro="[0]!ClearValueOnlyOPT" textlink="">
      <xdr:nvSpPr>
        <xdr:cNvPr id="13" name="Rectangle 12">
          <a:extLst>
            <a:ext uri="{FF2B5EF4-FFF2-40B4-BE49-F238E27FC236}">
              <a16:creationId xmlns:a16="http://schemas.microsoft.com/office/drawing/2014/main" id="{24BC13C5-CBBF-4AF0-BC73-76A4211E04E8}"/>
            </a:ext>
          </a:extLst>
        </xdr:cNvPr>
        <xdr:cNvSpPr/>
      </xdr:nvSpPr>
      <xdr:spPr>
        <a:xfrm>
          <a:off x="7877175" y="390525"/>
          <a:ext cx="13525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OPT</a:t>
          </a:r>
        </a:p>
      </xdr:txBody>
    </xdr:sp>
    <xdr:clientData/>
  </xdr:twoCellAnchor>
  <xdr:twoCellAnchor>
    <xdr:from>
      <xdr:col>12</xdr:col>
      <xdr:colOff>381000</xdr:colOff>
      <xdr:row>2</xdr:row>
      <xdr:rowOff>9525</xdr:rowOff>
    </xdr:from>
    <xdr:to>
      <xdr:col>14</xdr:col>
      <xdr:colOff>514350</xdr:colOff>
      <xdr:row>3</xdr:row>
      <xdr:rowOff>0</xdr:rowOff>
    </xdr:to>
    <xdr:sp macro="[0]!ClearValueOnlyOCT" textlink="">
      <xdr:nvSpPr>
        <xdr:cNvPr id="14" name="Rectangle 13">
          <a:extLst>
            <a:ext uri="{FF2B5EF4-FFF2-40B4-BE49-F238E27FC236}">
              <a16:creationId xmlns:a16="http://schemas.microsoft.com/office/drawing/2014/main" id="{97FCB0D3-9067-45A2-9567-7EEDB4275F66}"/>
            </a:ext>
          </a:extLst>
        </xdr:cNvPr>
        <xdr:cNvSpPr/>
      </xdr:nvSpPr>
      <xdr:spPr>
        <a:xfrm>
          <a:off x="9286875" y="390525"/>
          <a:ext cx="13525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OCT</a:t>
          </a:r>
        </a:p>
      </xdr:txBody>
    </xdr:sp>
    <xdr:clientData/>
  </xdr:twoCellAnchor>
  <xdr:twoCellAnchor>
    <xdr:from>
      <xdr:col>11</xdr:col>
      <xdr:colOff>57150</xdr:colOff>
      <xdr:row>0</xdr:row>
      <xdr:rowOff>0</xdr:rowOff>
    </xdr:from>
    <xdr:to>
      <xdr:col>14</xdr:col>
      <xdr:colOff>66675</xdr:colOff>
      <xdr:row>1</xdr:row>
      <xdr:rowOff>85725</xdr:rowOff>
    </xdr:to>
    <xdr:sp macro="[0]!ClearValueOnlyRetentionM" textlink="">
      <xdr:nvSpPr>
        <xdr:cNvPr id="15" name="Rectangle 14">
          <a:extLst>
            <a:ext uri="{FF2B5EF4-FFF2-40B4-BE49-F238E27FC236}">
              <a16:creationId xmlns:a16="http://schemas.microsoft.com/office/drawing/2014/main" id="{5C3BCDD3-865E-4A26-BDE4-E3A0599AE646}"/>
            </a:ext>
          </a:extLst>
        </xdr:cNvPr>
        <xdr:cNvSpPr/>
      </xdr:nvSpPr>
      <xdr:spPr>
        <a:xfrm>
          <a:off x="8353425" y="0"/>
          <a:ext cx="18383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Clear Values RetentionM</a:t>
          </a:r>
        </a:p>
      </xdr:txBody>
    </xdr:sp>
    <xdr:clientData/>
  </xdr:twoCellAnchor>
  <xdr:twoCellAnchor>
    <xdr:from>
      <xdr:col>5</xdr:col>
      <xdr:colOff>1</xdr:colOff>
      <xdr:row>4</xdr:row>
      <xdr:rowOff>0</xdr:rowOff>
    </xdr:from>
    <xdr:to>
      <xdr:col>6</xdr:col>
      <xdr:colOff>590551</xdr:colOff>
      <xdr:row>5</xdr:row>
      <xdr:rowOff>85725</xdr:rowOff>
    </xdr:to>
    <xdr:sp macro="[0]!ClearAll" textlink="">
      <xdr:nvSpPr>
        <xdr:cNvPr id="16" name="Rectangle 15">
          <a:extLst>
            <a:ext uri="{FF2B5EF4-FFF2-40B4-BE49-F238E27FC236}">
              <a16:creationId xmlns:a16="http://schemas.microsoft.com/office/drawing/2014/main" id="{5245918B-08F8-4711-B6D9-3CAAF25B6B59}"/>
            </a:ext>
          </a:extLst>
        </xdr:cNvPr>
        <xdr:cNvSpPr/>
      </xdr:nvSpPr>
      <xdr:spPr>
        <a:xfrm>
          <a:off x="4638676" y="895350"/>
          <a:ext cx="1200150" cy="276225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</a:t>
          </a:r>
          <a:r>
            <a:rPr lang="en-IN" sz="1100" b="1"/>
            <a:t>CLEAR ALL</a:t>
          </a:r>
          <a:r>
            <a:rPr lang="en-IN" sz="1100"/>
            <a:t>	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D171-5CA0-4E41-BAD3-C1965B7F7A8B}">
  <sheetPr codeName="Sheet1"/>
  <dimension ref="A1:B20"/>
  <sheetViews>
    <sheetView tabSelected="1" workbookViewId="0">
      <selection activeCell="A10" sqref="A10"/>
    </sheetView>
  </sheetViews>
  <sheetFormatPr defaultRowHeight="15" x14ac:dyDescent="0.25"/>
  <cols>
    <col min="1" max="1" width="18.28515625" bestFit="1" customWidth="1" collapsed="1"/>
    <col min="2" max="2" width="23.85546875" customWidth="1" collapsed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25</v>
      </c>
      <c r="B2" s="1" t="str" cm="1">
        <f t="array" ref="B2">IF(AND(Account_PE!A2:A6=Account_PE!B2:B6,Account_PE!C2:C7=Account_PE!D2:D7,Account_PE!E2:E13=Account_PE!F2:F13),"PASS","FAIL")</f>
        <v>FAIL</v>
      </c>
    </row>
    <row r="3" spans="1:2" ht="20.25" customHeight="1" x14ac:dyDescent="0.25">
      <c r="A3" s="2" t="s">
        <v>30</v>
      </c>
      <c r="B3" s="1" t="str" cm="1">
        <f t="array" ref="B3">IF(AND(Case_PE!A2:A7=Case_PE!B2:B7,Case_PE!C2:C3=Case_PE!D2:D3),"PASS","FAIL")</f>
        <v>FAIL</v>
      </c>
    </row>
    <row r="4" spans="1:2" ht="20.25" customHeight="1" x14ac:dyDescent="0.25">
      <c r="A4" s="2" t="s">
        <v>51</v>
      </c>
      <c r="B4" s="1" t="str" cm="1">
        <f t="array" ref="B4">IF(AND(Task_PE!A2:A3=Task_PE!B2:B3),"PASS","FAIL")</f>
        <v>FAIL</v>
      </c>
    </row>
    <row r="5" spans="1:2" x14ac:dyDescent="0.25">
      <c r="A5" s="2" t="s">
        <v>26</v>
      </c>
      <c r="B5" s="1" t="str" cm="1">
        <f t="array" ref="B5">IF(AND(Account_Mentor!A2:A6=Account_Mentor!B2:B6,Account_Mentor!C2:C7=Account_Mentor!D2:D7,Account_Mentor!E2:E13=Account_Mentor!F2:F13),"PASS","FAIL")</f>
        <v>FAIL</v>
      </c>
    </row>
    <row r="6" spans="1:2" x14ac:dyDescent="0.25">
      <c r="A6" s="2" t="s">
        <v>31</v>
      </c>
      <c r="B6" s="1" t="str" cm="1">
        <f t="array" ref="B6">IF(AND(Case_Mentor!A2:A7=Case_Mentor!B2:B7,Case_Mentor!C2:C3=Case_Mentor!D2:D3),"PASS","FAIL")</f>
        <v>FAIL</v>
      </c>
    </row>
    <row r="7" spans="1:2" x14ac:dyDescent="0.25">
      <c r="A7" s="2" t="s">
        <v>52</v>
      </c>
      <c r="B7" s="1" t="str" cm="1">
        <f t="array" ref="B7">IF(AND(Task_Mentor!A2:A3=Task_Mentor!B2:B3),"PASS","FAIL")</f>
        <v>FAIL</v>
      </c>
    </row>
    <row r="8" spans="1:2" x14ac:dyDescent="0.25">
      <c r="A8" s="2" t="s">
        <v>27</v>
      </c>
      <c r="B8" s="1" t="str" cm="1">
        <f t="array" ref="B8">IF(AND(Account_Retention!A2:A6=Account_Retention!B2:B6,Account_Retention!C2:C7=Account_Retention!D2:D7,Account_Retention!E2:E13=Account_Retention!F2:F13),"PASS","FAIL")</f>
        <v>FAIL</v>
      </c>
    </row>
    <row r="9" spans="1:2" x14ac:dyDescent="0.25">
      <c r="A9" s="2" t="s">
        <v>32</v>
      </c>
      <c r="B9" s="1" t="str" cm="1">
        <f t="array" ref="B9">IF(AND(Case_Retention!A2:A7=Case_Retention!B2:B7,Case_Retention!C2:C3=Case_Retention!D2:D3,Case_Retention!E2:E4=Case_Retention!F2:F4),"PASS","FAIL")</f>
        <v>FAIL</v>
      </c>
    </row>
    <row r="10" spans="1:2" x14ac:dyDescent="0.25">
      <c r="A10" s="2" t="s">
        <v>54</v>
      </c>
      <c r="B10" s="1" t="str" cm="1">
        <f t="array" ref="B10">IF(AND(Account_RetentionM!A2:A6=Account_RetentionM!B2:B6,Account_RetentionM!C2:C7=Account_RetentionM!D2:D7,Account_RetentionM!E2:E13=Account_RetentionM!F2:F13),"PASS","FAIL")</f>
        <v>FAIL</v>
      </c>
    </row>
    <row r="11" spans="1:2" x14ac:dyDescent="0.25">
      <c r="A11" s="2" t="s">
        <v>55</v>
      </c>
      <c r="B11" s="1" t="str" cm="1">
        <f t="array" ref="B11">IF(AND(Case_RetentionM!A2:A7=Case_RetentionM!B2:B7,Case_RetentionM!C2:C3=Case_RetentionM!D2:D3,Case_RetentionM!E2:E4=Case_RetentionM!F2:F4),"PASS","FAIL")</f>
        <v>FAIL</v>
      </c>
    </row>
    <row r="12" spans="1:2" x14ac:dyDescent="0.25">
      <c r="A12" s="2" t="s">
        <v>28</v>
      </c>
      <c r="B12" s="1" t="str" cm="1">
        <f t="array" ref="B12">IF(AND(Account_BLC!A2:A6=Account_BLC!B2:B6,Account_BLC!C2:C7=Account_BLC!D2:D7,Account_BLC!E2:E13=Account_BLC!F2:F13),"PASS","FAIL")</f>
        <v>FAIL</v>
      </c>
    </row>
    <row r="13" spans="1:2" x14ac:dyDescent="0.25">
      <c r="A13" s="2" t="s">
        <v>33</v>
      </c>
      <c r="B13" s="1" t="str" cm="1">
        <f t="array" ref="B13">IF(AND(Case_BLC!A2:A4=Case_BLC!B2:B4),"PASS","FAIL")</f>
        <v>FAIL</v>
      </c>
    </row>
    <row r="14" spans="1:2" x14ac:dyDescent="0.25">
      <c r="A14" s="2" t="s">
        <v>29</v>
      </c>
      <c r="B14" s="1" t="str" cm="1">
        <f t="array" ref="B14">IF(AND(Account_CS!A2:A6=Account_CS!B2:B6,Account_CS!C2:C6=Account_CS!D2:D6,Account_CS!E2:E7=Account_CS!F2:F7),"PASS","FAIL")</f>
        <v>FAIL</v>
      </c>
    </row>
    <row r="15" spans="1:2" x14ac:dyDescent="0.25">
      <c r="A15" s="2" t="s">
        <v>34</v>
      </c>
      <c r="B15" s="1" t="str" cm="1">
        <f t="array" ref="B15">IF(AND(Case_CS!A2:A7=Case_CS!B2:B7),"PASS","FAIL")</f>
        <v>FAIL</v>
      </c>
    </row>
    <row r="16" spans="1:2" x14ac:dyDescent="0.25">
      <c r="A16" s="2" t="s">
        <v>41</v>
      </c>
      <c r="B16" s="1" t="str" cm="1">
        <f t="array" ref="B16">IF(AND(Account_PS!A2:A6=Account_PS!B2:B6,Account_PS!C2:C6=Account_PS!D2:D6,Account_PS!E2:E6=Account_PS!F2:F6),"PASS","FAIL")</f>
        <v>FAIL</v>
      </c>
    </row>
    <row r="17" spans="1:2" x14ac:dyDescent="0.25">
      <c r="A17" s="2" t="s">
        <v>42</v>
      </c>
      <c r="B17" s="1" t="str" cm="1">
        <f t="array" ref="B17">IF(AND(Case_PS!A2:A7=Case_PS!B2:B7,Case_PS!C2:C3=Case_PS!D2:D3),"PASS","FAIL")</f>
        <v>FAIL</v>
      </c>
    </row>
    <row r="18" spans="1:2" x14ac:dyDescent="0.25">
      <c r="A18" s="2" t="s">
        <v>46</v>
      </c>
      <c r="B18" s="1" t="str" cm="1">
        <f t="array" ref="B18">IF(AND(Case_Logistic!A2:A7=Case_Logistic!B2:B7,Case_Logistic!C2:C3=Case_Logistic!D2:D3,Case_Logistic!E2:E5=Case_Logistic!F2:F5,Case_Logistic!G2:G3=Case_Logistic!H2:H3),"PASS","FAIL")</f>
        <v>FAIL</v>
      </c>
    </row>
    <row r="19" spans="1:2" x14ac:dyDescent="0.25">
      <c r="A19" s="2" t="s">
        <v>47</v>
      </c>
      <c r="B19" s="1" t="str" cm="1">
        <f t="array" ref="B19">IF(AND(Case_OPT!A2:A7=Case_OPT!B2:B7,Case_OPT!C2:C3=Case_OPT!D2:D3,Case_OPT!E2:E5=Case_OPT!F2:F5,Case_OPT!G2:G3=Case_OPT!H2:H3),"PASS","FAIL")</f>
        <v>FAIL</v>
      </c>
    </row>
    <row r="20" spans="1:2" x14ac:dyDescent="0.25">
      <c r="A20" s="2" t="s">
        <v>49</v>
      </c>
      <c r="B20" s="1" t="str" cm="1">
        <f t="array" ref="B20">IF(AND(Case_OCT!A2:A7=Case_OCT!B2:B7,Case_OCT!C2:C3=Case_OCT!D2:D3,Case_OCT!E2:E5=Case_OCT!F2:F5,Case_OCT!G2:G3=Case_OCT!H2:H3),"PASS","FAIL")</f>
        <v>FAIL</v>
      </c>
    </row>
  </sheetData>
  <autoFilter ref="A1:B20" xr:uid="{FE67D171-5CA0-4E41-BAD3-C1965B7F7A8B}"/>
  <hyperlinks>
    <hyperlink ref="A2" location="Account_PE!A1" display="Account_PE" xr:uid="{33038DA7-EC9B-44EF-A8C3-EFDE32B2199B}"/>
    <hyperlink ref="A5" location="Account_Mentor!A1" display="Account_Mentor" xr:uid="{0512027E-3021-4423-9DA2-143B4ECCC6D1}"/>
    <hyperlink ref="A8" location="Account_Retention!A1" display="Account_Retention" xr:uid="{0F68E75D-9DC8-42DE-ACB4-88BE7C0FC3B7}"/>
    <hyperlink ref="A12" location="Account_BLC!A1" display="Account_BLC" xr:uid="{F4AA0293-DEDE-4680-867E-3F201EDA2ABE}"/>
    <hyperlink ref="A14" location="Account_CS!A1" display="Account_CS" xr:uid="{210B4025-1B03-4968-8343-277D0B1AFF89}"/>
    <hyperlink ref="A3" location="Case_PE!A1" display="Case_PE" xr:uid="{CAF61C4E-8D3C-4559-95F5-2862B5796925}"/>
    <hyperlink ref="A6" location="Case_Mentor!A1" display="Case_Mentor" xr:uid="{F430F2F4-F0C0-4115-8C2D-9B6296E313AD}"/>
    <hyperlink ref="A9" location="Case_Retention!A1" display="Case_PE" xr:uid="{DB627034-4D16-4335-817A-7DF52C716C5E}"/>
    <hyperlink ref="A13" location="Case_BLC!A1" display="Case_BLC" xr:uid="{1D33A27F-2FC9-46E0-A467-10EDB821560A}"/>
    <hyperlink ref="A15" location="Case_CS!A1" display="Case_CS" xr:uid="{957DDA8B-00DC-4D28-A440-99622D5BADAE}"/>
    <hyperlink ref="A16" location="Account_PS!A1" display="Account_PS" xr:uid="{E4630B2C-602F-4969-8545-29FB686B6B90}"/>
    <hyperlink ref="A17" location="Case_PS!A1" display="Case_PS" xr:uid="{9689BE9D-B0A0-4593-91CF-6976958E8382}"/>
    <hyperlink ref="A18" location="Case_Logistic!A1" display="Case_Logistic" xr:uid="{FB0AF244-F9F0-47EE-B29A-B794F7C4EBE1}"/>
    <hyperlink ref="A19" location="Case_OPT!A1" display="Case_OPT" xr:uid="{79A06950-4854-42BE-8488-132F6258D33D}"/>
    <hyperlink ref="A20" location="Case_OCT!A1" display="Case_OCT" xr:uid="{3F7C9B84-C6F0-49C8-B740-ECCFBCD20199}"/>
    <hyperlink ref="A4" location="Task_PE!A1" display="Task_PE" xr:uid="{75722933-E1E4-46C2-AD70-D092F445EDE5}"/>
    <hyperlink ref="A7" location="Task_Mentor!A1" display="Task_Mentor" xr:uid="{758C9976-78BA-4F82-85B9-5F29E4189D2E}"/>
    <hyperlink ref="A10" location="Account_RetentionM!A1" display="Account_RetentionM" xr:uid="{1848C6B0-406F-4C73-B1C8-A1DAA0F350BD}"/>
    <hyperlink ref="A11" location="Case_RetentionM!A1" display="Case_RetentionM" xr:uid="{71B6BED6-2666-4E46-BD35-F47E24009A5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61FA3-B7DC-404F-8F17-B5580F9AF579}">
  <sheetPr codeName="Sheet3"/>
  <dimension ref="A1:F14"/>
  <sheetViews>
    <sheetView workbookViewId="0">
      <selection activeCell="E7" sqref="E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21</v>
      </c>
      <c r="E4" t="s">
        <v>7</v>
      </c>
    </row>
    <row r="5" spans="1:6" x14ac:dyDescent="0.25">
      <c r="A5" t="s">
        <v>18</v>
      </c>
      <c r="C5" t="s">
        <v>23</v>
      </c>
      <c r="E5" t="s">
        <v>24</v>
      </c>
    </row>
    <row r="6" spans="1:6" x14ac:dyDescent="0.25">
      <c r="A6">
        <v>4</v>
      </c>
      <c r="C6" t="s">
        <v>56</v>
      </c>
      <c r="E6" t="s">
        <v>57</v>
      </c>
    </row>
    <row r="7" spans="1:6" x14ac:dyDescent="0.25">
      <c r="C7">
        <v>5</v>
      </c>
      <c r="E7" t="s">
        <v>59</v>
      </c>
    </row>
    <row r="8" spans="1:6" x14ac:dyDescent="0.25">
      <c r="E8" t="s">
        <v>8</v>
      </c>
    </row>
    <row r="9" spans="1:6" x14ac:dyDescent="0.25">
      <c r="E9" t="s">
        <v>58</v>
      </c>
    </row>
    <row r="10" spans="1:6" x14ac:dyDescent="0.25">
      <c r="E10" t="s">
        <v>9</v>
      </c>
    </row>
    <row r="11" spans="1:6" x14ac:dyDescent="0.25">
      <c r="E11" t="s">
        <v>10</v>
      </c>
    </row>
    <row r="12" spans="1:6" x14ac:dyDescent="0.25">
      <c r="E12" t="s">
        <v>11</v>
      </c>
    </row>
    <row r="13" spans="1:6" x14ac:dyDescent="0.25">
      <c r="E13" t="s">
        <v>12</v>
      </c>
    </row>
    <row r="14" spans="1:6" x14ac:dyDescent="0.25">
      <c r="E14">
        <v>12</v>
      </c>
    </row>
  </sheetData>
  <conditionalFormatting sqref="A2:B6">
    <cfRule type="uniqueValues" dxfId="53" priority="9"/>
  </conditionalFormatting>
  <conditionalFormatting sqref="C2:D6">
    <cfRule type="uniqueValues" dxfId="52" priority="8"/>
  </conditionalFormatting>
  <conditionalFormatting sqref="C2:D7">
    <cfRule type="uniqueValues" dxfId="51" priority="6"/>
  </conditionalFormatting>
  <conditionalFormatting sqref="E2:F14">
    <cfRule type="uniqueValues" dxfId="5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54E25-C97E-4005-B91F-515AA86AE30E}">
  <sheetPr codeName="Sheet5"/>
  <dimension ref="A1:F7"/>
  <sheetViews>
    <sheetView workbookViewId="0">
      <selection activeCell="C11" sqref="C11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C2" t="s">
        <v>36</v>
      </c>
    </row>
    <row r="3" spans="1:4" x14ac:dyDescent="0.25">
      <c r="A3" t="s">
        <v>37</v>
      </c>
      <c r="C3">
        <v>1</v>
      </c>
    </row>
    <row r="4" spans="1:4" x14ac:dyDescent="0.25">
      <c r="A4" t="s">
        <v>38</v>
      </c>
    </row>
    <row r="5" spans="1:4" x14ac:dyDescent="0.25">
      <c r="A5" t="s">
        <v>39</v>
      </c>
    </row>
    <row r="6" spans="1:4" x14ac:dyDescent="0.25">
      <c r="A6" t="s">
        <v>40</v>
      </c>
    </row>
    <row r="7" spans="1:4" x14ac:dyDescent="0.25">
      <c r="A7">
        <v>5</v>
      </c>
    </row>
  </sheetData>
  <conditionalFormatting sqref="A2:B7">
    <cfRule type="uniqueValues" dxfId="49" priority="2"/>
  </conditionalFormatting>
  <conditionalFormatting sqref="C2:D3">
    <cfRule type="uniqueValues" dxfId="48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ADEA-5B9F-47EC-A3DC-302DA37544AF}">
  <sheetPr codeName="Sheet19"/>
  <dimension ref="A1:F3"/>
  <sheetViews>
    <sheetView workbookViewId="0">
      <selection activeCell="A2" sqref="A2:B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2" x14ac:dyDescent="0.25">
      <c r="A1" t="s">
        <v>13</v>
      </c>
      <c r="B1" t="s">
        <v>3</v>
      </c>
    </row>
    <row r="2" spans="1:2" x14ac:dyDescent="0.25">
      <c r="A2" t="s">
        <v>50</v>
      </c>
    </row>
    <row r="3" spans="1:2" x14ac:dyDescent="0.25">
      <c r="A3">
        <v>1</v>
      </c>
    </row>
  </sheetData>
  <conditionalFormatting sqref="A2:B3">
    <cfRule type="uniqueValues" dxfId="47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5B859-4479-4AEB-9DF7-0F3B25A99761}">
  <sheetPr codeName="Sheet8"/>
  <dimension ref="A1:F15"/>
  <sheetViews>
    <sheetView workbookViewId="0">
      <selection activeCell="E8" sqref="E8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21</v>
      </c>
      <c r="E4" t="s">
        <v>6</v>
      </c>
    </row>
    <row r="5" spans="1:6" x14ac:dyDescent="0.25">
      <c r="A5" t="s">
        <v>18</v>
      </c>
      <c r="C5" t="s">
        <v>23</v>
      </c>
      <c r="E5" t="s">
        <v>7</v>
      </c>
    </row>
    <row r="6" spans="1:6" x14ac:dyDescent="0.25">
      <c r="A6">
        <v>4</v>
      </c>
      <c r="C6" t="s">
        <v>56</v>
      </c>
      <c r="E6" t="s">
        <v>24</v>
      </c>
    </row>
    <row r="7" spans="1:6" x14ac:dyDescent="0.25">
      <c r="C7">
        <v>5</v>
      </c>
      <c r="E7" t="s">
        <v>57</v>
      </c>
    </row>
    <row r="8" spans="1:6" x14ac:dyDescent="0.25">
      <c r="E8" t="s">
        <v>59</v>
      </c>
    </row>
    <row r="9" spans="1:6" x14ac:dyDescent="0.25">
      <c r="E9" t="s">
        <v>8</v>
      </c>
    </row>
    <row r="10" spans="1:6" x14ac:dyDescent="0.25">
      <c r="E10" t="s">
        <v>58</v>
      </c>
    </row>
    <row r="11" spans="1:6" x14ac:dyDescent="0.25">
      <c r="E11" t="s">
        <v>9</v>
      </c>
    </row>
    <row r="12" spans="1:6" x14ac:dyDescent="0.25">
      <c r="E12" t="s">
        <v>10</v>
      </c>
    </row>
    <row r="13" spans="1:6" x14ac:dyDescent="0.25">
      <c r="E13" t="s">
        <v>11</v>
      </c>
    </row>
    <row r="14" spans="1:6" x14ac:dyDescent="0.25">
      <c r="E14" t="s">
        <v>12</v>
      </c>
    </row>
    <row r="15" spans="1:6" x14ac:dyDescent="0.25">
      <c r="E15">
        <v>13</v>
      </c>
      <c r="F15">
        <v>13</v>
      </c>
    </row>
  </sheetData>
  <conditionalFormatting sqref="A2:B6">
    <cfRule type="uniqueValues" dxfId="46" priority="9"/>
  </conditionalFormatting>
  <conditionalFormatting sqref="C2:D6">
    <cfRule type="uniqueValues" dxfId="45" priority="8"/>
  </conditionalFormatting>
  <conditionalFormatting sqref="C2:D7">
    <cfRule type="uniqueValues" dxfId="44" priority="6"/>
  </conditionalFormatting>
  <conditionalFormatting sqref="E2:F15">
    <cfRule type="uniqueValues" dxfId="43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0811-4015-4B78-AE98-CC321790DCC6}">
  <sheetPr codeName="Sheet6"/>
  <dimension ref="A1:F7"/>
  <sheetViews>
    <sheetView workbookViewId="0">
      <selection activeCell="C2" sqref="C2:D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C2" t="s">
        <v>36</v>
      </c>
    </row>
    <row r="3" spans="1:4" x14ac:dyDescent="0.25">
      <c r="A3" t="s">
        <v>37</v>
      </c>
      <c r="C3">
        <v>1</v>
      </c>
    </row>
    <row r="4" spans="1:4" x14ac:dyDescent="0.25">
      <c r="A4" t="s">
        <v>38</v>
      </c>
    </row>
    <row r="5" spans="1:4" x14ac:dyDescent="0.25">
      <c r="A5" t="s">
        <v>39</v>
      </c>
    </row>
    <row r="6" spans="1:4" x14ac:dyDescent="0.25">
      <c r="A6" t="s">
        <v>40</v>
      </c>
    </row>
    <row r="7" spans="1:4" x14ac:dyDescent="0.25">
      <c r="A7">
        <v>5</v>
      </c>
    </row>
  </sheetData>
  <conditionalFormatting sqref="A2:B7">
    <cfRule type="uniqueValues" dxfId="42" priority="2"/>
  </conditionalFormatting>
  <conditionalFormatting sqref="C2:D3">
    <cfRule type="uniqueValues" dxfId="41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8F4B-19BF-454F-946D-87FC1E4BC9B4}">
  <sheetPr codeName="Sheet20"/>
  <dimension ref="A1:F3"/>
  <sheetViews>
    <sheetView workbookViewId="0">
      <selection activeCell="A2" sqref="A2:B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2" x14ac:dyDescent="0.25">
      <c r="A1" t="s">
        <v>13</v>
      </c>
      <c r="B1" t="s">
        <v>3</v>
      </c>
    </row>
    <row r="2" spans="1:2" x14ac:dyDescent="0.25">
      <c r="A2" t="s">
        <v>50</v>
      </c>
    </row>
    <row r="3" spans="1:2" x14ac:dyDescent="0.25">
      <c r="A3">
        <v>1</v>
      </c>
    </row>
  </sheetData>
  <conditionalFormatting sqref="A2:B3">
    <cfRule type="uniqueValues" dxfId="4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8CD4-FD94-4C63-8FF9-4B79043C2E2F}">
  <sheetPr codeName="Sheet9"/>
  <dimension ref="A1:F10"/>
  <sheetViews>
    <sheetView workbookViewId="0">
      <selection activeCell="C13" sqref="C1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21</v>
      </c>
      <c r="E4" t="s">
        <v>7</v>
      </c>
    </row>
    <row r="5" spans="1:6" x14ac:dyDescent="0.25">
      <c r="A5" t="s">
        <v>18</v>
      </c>
      <c r="C5" t="s">
        <v>22</v>
      </c>
      <c r="E5" t="s">
        <v>24</v>
      </c>
    </row>
    <row r="6" spans="1:6" x14ac:dyDescent="0.25">
      <c r="A6">
        <v>4</v>
      </c>
      <c r="C6" t="s">
        <v>23</v>
      </c>
      <c r="E6" t="s">
        <v>8</v>
      </c>
    </row>
    <row r="7" spans="1:6" x14ac:dyDescent="0.25">
      <c r="C7" t="s">
        <v>56</v>
      </c>
      <c r="E7" t="s">
        <v>9</v>
      </c>
    </row>
    <row r="8" spans="1:6" x14ac:dyDescent="0.25">
      <c r="C8">
        <v>6</v>
      </c>
      <c r="D8">
        <v>6</v>
      </c>
      <c r="E8" t="s">
        <v>10</v>
      </c>
    </row>
    <row r="9" spans="1:6" x14ac:dyDescent="0.25">
      <c r="E9" t="s">
        <v>11</v>
      </c>
    </row>
    <row r="10" spans="1:6" x14ac:dyDescent="0.25">
      <c r="E10">
        <v>8</v>
      </c>
    </row>
  </sheetData>
  <conditionalFormatting sqref="A2:B6">
    <cfRule type="uniqueValues" dxfId="39" priority="4"/>
  </conditionalFormatting>
  <conditionalFormatting sqref="C2:D7">
    <cfRule type="uniqueValues" dxfId="38" priority="3"/>
  </conditionalFormatting>
  <conditionalFormatting sqref="E2:F10">
    <cfRule type="uniqueValues" dxfId="37" priority="2"/>
  </conditionalFormatting>
  <conditionalFormatting sqref="C2:D8">
    <cfRule type="uniqueValues" dxfId="36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A8F7C-2F30-49C4-A347-BAA9A1424D59}">
  <sheetPr codeName="Sheet7"/>
  <dimension ref="A1:F7"/>
  <sheetViews>
    <sheetView workbookViewId="0"/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53</v>
      </c>
      <c r="F1" t="s">
        <v>3</v>
      </c>
    </row>
    <row r="2" spans="1:6" x14ac:dyDescent="0.25">
      <c r="A2" t="s">
        <v>35</v>
      </c>
      <c r="C2" t="s">
        <v>36</v>
      </c>
      <c r="E2" t="s">
        <v>43</v>
      </c>
    </row>
    <row r="3" spans="1:6" x14ac:dyDescent="0.25">
      <c r="A3" t="s">
        <v>37</v>
      </c>
      <c r="C3">
        <v>1</v>
      </c>
      <c r="E3" t="s">
        <v>45</v>
      </c>
    </row>
    <row r="4" spans="1:6" x14ac:dyDescent="0.25">
      <c r="A4" t="s">
        <v>38</v>
      </c>
      <c r="E4">
        <v>2</v>
      </c>
    </row>
    <row r="5" spans="1:6" x14ac:dyDescent="0.25">
      <c r="A5" t="s">
        <v>39</v>
      </c>
    </row>
    <row r="6" spans="1:6" x14ac:dyDescent="0.25">
      <c r="A6" t="s">
        <v>40</v>
      </c>
    </row>
    <row r="7" spans="1:6" x14ac:dyDescent="0.25">
      <c r="A7">
        <v>5</v>
      </c>
    </row>
  </sheetData>
  <conditionalFormatting sqref="A2:B7">
    <cfRule type="uniqueValues" dxfId="35" priority="3"/>
  </conditionalFormatting>
  <conditionalFormatting sqref="C2:D3">
    <cfRule type="uniqueValues" dxfId="34" priority="2"/>
  </conditionalFormatting>
  <conditionalFormatting sqref="E2:F4">
    <cfRule type="uniqueValues" dxfId="3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0484-6C6D-4095-ABE5-47E0EBC18B0D}">
  <sheetPr codeName="Sheet21"/>
  <dimension ref="A1:F12"/>
  <sheetViews>
    <sheetView workbookViewId="0"/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21</v>
      </c>
      <c r="E4" t="s">
        <v>6</v>
      </c>
    </row>
    <row r="5" spans="1:6" x14ac:dyDescent="0.25">
      <c r="A5" t="s">
        <v>18</v>
      </c>
      <c r="C5" t="s">
        <v>22</v>
      </c>
      <c r="E5" t="s">
        <v>7</v>
      </c>
    </row>
    <row r="6" spans="1:6" x14ac:dyDescent="0.25">
      <c r="A6">
        <v>4</v>
      </c>
      <c r="C6" t="s">
        <v>23</v>
      </c>
      <c r="E6" t="s">
        <v>24</v>
      </c>
    </row>
    <row r="7" spans="1:6" x14ac:dyDescent="0.25">
      <c r="C7" t="s">
        <v>56</v>
      </c>
      <c r="E7" t="s">
        <v>8</v>
      </c>
    </row>
    <row r="8" spans="1:6" x14ac:dyDescent="0.25">
      <c r="C8">
        <v>6</v>
      </c>
      <c r="D8">
        <v>6</v>
      </c>
      <c r="E8" t="s">
        <v>9</v>
      </c>
    </row>
    <row r="9" spans="1:6" x14ac:dyDescent="0.25">
      <c r="E9" t="s">
        <v>10</v>
      </c>
    </row>
    <row r="10" spans="1:6" x14ac:dyDescent="0.25">
      <c r="E10" t="s">
        <v>11</v>
      </c>
    </row>
    <row r="11" spans="1:6" x14ac:dyDescent="0.25">
      <c r="E11" t="s">
        <v>12</v>
      </c>
    </row>
    <row r="12" spans="1:6" x14ac:dyDescent="0.25">
      <c r="E12">
        <v>10</v>
      </c>
    </row>
  </sheetData>
  <conditionalFormatting sqref="A2:B6">
    <cfRule type="uniqueValues" dxfId="32" priority="3"/>
  </conditionalFormatting>
  <conditionalFormatting sqref="C2:D8">
    <cfRule type="uniqueValues" dxfId="31" priority="2"/>
  </conditionalFormatting>
  <conditionalFormatting sqref="E2:F12">
    <cfRule type="uniqueValues" dxfId="30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102A-5C6B-446D-B56B-4BC545B2C635}">
  <sheetPr codeName="Sheet22"/>
  <dimension ref="A1:F7"/>
  <sheetViews>
    <sheetView workbookViewId="0"/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53</v>
      </c>
      <c r="F1" t="s">
        <v>3</v>
      </c>
    </row>
    <row r="2" spans="1:6" x14ac:dyDescent="0.25">
      <c r="A2" t="s">
        <v>35</v>
      </c>
      <c r="C2" t="s">
        <v>36</v>
      </c>
      <c r="E2" t="s">
        <v>48</v>
      </c>
    </row>
    <row r="3" spans="1:6" x14ac:dyDescent="0.25">
      <c r="A3" t="s">
        <v>37</v>
      </c>
      <c r="C3">
        <v>1</v>
      </c>
      <c r="E3" t="s">
        <v>43</v>
      </c>
    </row>
    <row r="4" spans="1:6" x14ac:dyDescent="0.25">
      <c r="A4" t="s">
        <v>38</v>
      </c>
      <c r="E4" t="s">
        <v>45</v>
      </c>
    </row>
    <row r="5" spans="1:6" x14ac:dyDescent="0.25">
      <c r="A5" t="s">
        <v>39</v>
      </c>
      <c r="E5">
        <v>3</v>
      </c>
    </row>
    <row r="6" spans="1:6" x14ac:dyDescent="0.25">
      <c r="A6" t="s">
        <v>40</v>
      </c>
    </row>
    <row r="7" spans="1:6" x14ac:dyDescent="0.25">
      <c r="A7">
        <v>5</v>
      </c>
    </row>
  </sheetData>
  <conditionalFormatting sqref="A2:B7">
    <cfRule type="uniqueValues" dxfId="29" priority="4"/>
  </conditionalFormatting>
  <conditionalFormatting sqref="C2:D3">
    <cfRule type="uniqueValues" dxfId="28" priority="3"/>
  </conditionalFormatting>
  <conditionalFormatting sqref="E2:F4">
    <cfRule type="uniqueValues" dxfId="27" priority="2"/>
  </conditionalFormatting>
  <conditionalFormatting sqref="E2:F5">
    <cfRule type="uniqueValues" dxfId="26" priority="1"/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F4B1-1BA0-4AAE-BC0C-BF627D910043}">
  <sheetPr codeName="Sheet10"/>
  <dimension ref="A1:F13"/>
  <sheetViews>
    <sheetView workbookViewId="0">
      <selection activeCell="E7" sqref="E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21</v>
      </c>
      <c r="E4" t="s">
        <v>6</v>
      </c>
    </row>
    <row r="5" spans="1:6" x14ac:dyDescent="0.25">
      <c r="A5" t="s">
        <v>18</v>
      </c>
      <c r="C5" t="s">
        <v>23</v>
      </c>
      <c r="E5" t="s">
        <v>24</v>
      </c>
    </row>
    <row r="6" spans="1:6" x14ac:dyDescent="0.25">
      <c r="A6">
        <v>4</v>
      </c>
      <c r="C6" t="s">
        <v>56</v>
      </c>
      <c r="E6" t="s">
        <v>57</v>
      </c>
    </row>
    <row r="7" spans="1:6" x14ac:dyDescent="0.25">
      <c r="C7">
        <v>5</v>
      </c>
      <c r="E7" t="s">
        <v>59</v>
      </c>
    </row>
    <row r="8" spans="1:6" x14ac:dyDescent="0.25">
      <c r="E8" t="s">
        <v>8</v>
      </c>
    </row>
    <row r="9" spans="1:6" x14ac:dyDescent="0.25">
      <c r="E9" t="s">
        <v>58</v>
      </c>
    </row>
    <row r="10" spans="1:6" x14ac:dyDescent="0.25">
      <c r="E10" t="s">
        <v>9</v>
      </c>
    </row>
    <row r="11" spans="1:6" x14ac:dyDescent="0.25">
      <c r="E11" t="s">
        <v>10</v>
      </c>
    </row>
    <row r="12" spans="1:6" x14ac:dyDescent="0.25">
      <c r="E12" t="s">
        <v>11</v>
      </c>
    </row>
    <row r="13" spans="1:6" x14ac:dyDescent="0.25">
      <c r="E13">
        <v>11</v>
      </c>
    </row>
  </sheetData>
  <conditionalFormatting sqref="A2:B6">
    <cfRule type="uniqueValues" dxfId="25" priority="9"/>
  </conditionalFormatting>
  <conditionalFormatting sqref="C2:D6">
    <cfRule type="uniqueValues" dxfId="24" priority="8"/>
  </conditionalFormatting>
  <conditionalFormatting sqref="C2:D7">
    <cfRule type="uniqueValues" dxfId="23" priority="6"/>
  </conditionalFormatting>
  <conditionalFormatting sqref="E2:F13">
    <cfRule type="uniqueValues" dxfId="22" priority="1"/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D86F7-3CD2-433F-BBBE-6AC77F209142}">
  <sheetPr codeName="Sheet12"/>
  <dimension ref="A1:D4"/>
  <sheetViews>
    <sheetView workbookViewId="0">
      <selection activeCell="A2" sqref="A2:B4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4" width="29.7109375" bestFit="1" customWidth="1" collapsed="1"/>
  </cols>
  <sheetData>
    <row r="1" spans="1:2" x14ac:dyDescent="0.25">
      <c r="A1" t="s">
        <v>13</v>
      </c>
      <c r="B1" t="s">
        <v>3</v>
      </c>
    </row>
    <row r="2" spans="1:2" x14ac:dyDescent="0.25">
      <c r="A2" t="s">
        <v>35</v>
      </c>
    </row>
    <row r="3" spans="1:2" x14ac:dyDescent="0.25">
      <c r="A3" t="s">
        <v>39</v>
      </c>
    </row>
    <row r="4" spans="1:2" x14ac:dyDescent="0.25">
      <c r="A4">
        <v>2</v>
      </c>
    </row>
  </sheetData>
  <conditionalFormatting sqref="A2:B4">
    <cfRule type="uniqueValues" dxfId="21" priority="1"/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F06F-69DD-4A94-B75A-55667AE17748}">
  <sheetPr codeName="Sheet11"/>
  <dimension ref="A1:F6"/>
  <sheetViews>
    <sheetView workbookViewId="0">
      <selection activeCell="C14" sqref="C14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23</v>
      </c>
      <c r="E4" t="s">
        <v>24</v>
      </c>
    </row>
    <row r="5" spans="1:6" x14ac:dyDescent="0.25">
      <c r="A5" t="s">
        <v>18</v>
      </c>
      <c r="C5" t="s">
        <v>56</v>
      </c>
      <c r="E5" t="s">
        <v>9</v>
      </c>
    </row>
    <row r="6" spans="1:6" x14ac:dyDescent="0.25">
      <c r="A6">
        <v>4</v>
      </c>
      <c r="C6">
        <v>4</v>
      </c>
      <c r="E6">
        <v>4</v>
      </c>
    </row>
  </sheetData>
  <conditionalFormatting sqref="A2:B6">
    <cfRule type="uniqueValues" dxfId="20" priority="4"/>
  </conditionalFormatting>
  <conditionalFormatting sqref="C2:D5">
    <cfRule type="uniqueValues" dxfId="19" priority="3"/>
  </conditionalFormatting>
  <conditionalFormatting sqref="E2:F6">
    <cfRule type="uniqueValues" dxfId="18" priority="2"/>
  </conditionalFormatting>
  <conditionalFormatting sqref="C2:D7">
    <cfRule type="uniqueValues" dxfId="17" priority="1"/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1FBD-1F6A-4FF4-B7F4-B31ADE73ACA3}">
  <sheetPr codeName="Sheet13"/>
  <dimension ref="A1:F7"/>
  <sheetViews>
    <sheetView workbookViewId="0">
      <selection activeCell="A2" sqref="A2:B7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2" x14ac:dyDescent="0.25">
      <c r="A1" t="s">
        <v>13</v>
      </c>
      <c r="B1" t="s">
        <v>3</v>
      </c>
    </row>
    <row r="2" spans="1:2" x14ac:dyDescent="0.25">
      <c r="A2" t="s">
        <v>35</v>
      </c>
    </row>
    <row r="3" spans="1:2" x14ac:dyDescent="0.25">
      <c r="A3" t="s">
        <v>38</v>
      </c>
    </row>
    <row r="4" spans="1:2" x14ac:dyDescent="0.25">
      <c r="A4" t="s">
        <v>39</v>
      </c>
    </row>
    <row r="5" spans="1:2" x14ac:dyDescent="0.25">
      <c r="A5" t="s">
        <v>40</v>
      </c>
    </row>
    <row r="6" spans="1:2" x14ac:dyDescent="0.25">
      <c r="A6" t="s">
        <v>36</v>
      </c>
    </row>
    <row r="7" spans="1:2" x14ac:dyDescent="0.25">
      <c r="A7">
        <v>5</v>
      </c>
    </row>
  </sheetData>
  <conditionalFormatting sqref="A2:B7">
    <cfRule type="uniqueValues" dxfId="16" priority="1"/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7637D-2B41-417E-ADAC-31C474073E24}">
  <sheetPr codeName="Sheet15"/>
  <dimension ref="A1:F6"/>
  <sheetViews>
    <sheetView workbookViewId="0">
      <selection activeCell="B10" sqref="B10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2</v>
      </c>
      <c r="F1" t="s">
        <v>3</v>
      </c>
    </row>
    <row r="2" spans="1:6" x14ac:dyDescent="0.25">
      <c r="A2" t="s">
        <v>15</v>
      </c>
      <c r="C2" t="s">
        <v>19</v>
      </c>
      <c r="E2" t="s">
        <v>4</v>
      </c>
    </row>
    <row r="3" spans="1:6" x14ac:dyDescent="0.25">
      <c r="A3" t="s">
        <v>16</v>
      </c>
      <c r="C3" t="s">
        <v>20</v>
      </c>
      <c r="E3" t="s">
        <v>5</v>
      </c>
    </row>
    <row r="4" spans="1:6" x14ac:dyDescent="0.25">
      <c r="A4" t="s">
        <v>17</v>
      </c>
      <c r="C4" t="s">
        <v>23</v>
      </c>
      <c r="E4" t="s">
        <v>24</v>
      </c>
    </row>
    <row r="5" spans="1:6" x14ac:dyDescent="0.25">
      <c r="A5" t="s">
        <v>18</v>
      </c>
      <c r="C5" t="s">
        <v>56</v>
      </c>
      <c r="E5" t="s">
        <v>9</v>
      </c>
    </row>
    <row r="6" spans="1:6" x14ac:dyDescent="0.25">
      <c r="A6">
        <v>4</v>
      </c>
      <c r="C6">
        <v>4</v>
      </c>
      <c r="E6">
        <v>4</v>
      </c>
    </row>
  </sheetData>
  <conditionalFormatting sqref="A2:B6">
    <cfRule type="uniqueValues" dxfId="15" priority="4"/>
  </conditionalFormatting>
  <conditionalFormatting sqref="C2:D5">
    <cfRule type="uniqueValues" dxfId="14" priority="3"/>
  </conditionalFormatting>
  <conditionalFormatting sqref="E2:F6">
    <cfRule type="uniqueValues" dxfId="13" priority="2"/>
  </conditionalFormatting>
  <conditionalFormatting sqref="C2:D6">
    <cfRule type="uniqueValues" dxfId="12" priority="1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4B94D-CD75-426A-BB40-410B2DECB3E4}">
  <sheetPr codeName="Sheet14"/>
  <dimension ref="A1:F7"/>
  <sheetViews>
    <sheetView workbookViewId="0">
      <selection activeCell="E9" sqref="E9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4" x14ac:dyDescent="0.25">
      <c r="A1" t="s">
        <v>13</v>
      </c>
      <c r="B1" t="s">
        <v>3</v>
      </c>
      <c r="C1" t="s">
        <v>14</v>
      </c>
      <c r="D1" t="s">
        <v>3</v>
      </c>
    </row>
    <row r="2" spans="1:4" x14ac:dyDescent="0.25">
      <c r="A2" t="s">
        <v>35</v>
      </c>
      <c r="C2" t="s">
        <v>36</v>
      </c>
    </row>
    <row r="3" spans="1:4" x14ac:dyDescent="0.25">
      <c r="A3" t="s">
        <v>37</v>
      </c>
      <c r="C3">
        <v>1</v>
      </c>
    </row>
    <row r="4" spans="1:4" x14ac:dyDescent="0.25">
      <c r="A4" t="s">
        <v>38</v>
      </c>
    </row>
    <row r="5" spans="1:4" x14ac:dyDescent="0.25">
      <c r="A5" t="s">
        <v>39</v>
      </c>
    </row>
    <row r="6" spans="1:4" x14ac:dyDescent="0.25">
      <c r="A6" t="s">
        <v>40</v>
      </c>
    </row>
    <row r="7" spans="1:4" x14ac:dyDescent="0.25">
      <c r="A7">
        <v>5</v>
      </c>
    </row>
  </sheetData>
  <conditionalFormatting sqref="A2:B7">
    <cfRule type="uniqueValues" dxfId="11" priority="2"/>
  </conditionalFormatting>
  <conditionalFormatting sqref="C2:D3">
    <cfRule type="uniqueValues" dxfId="10" priority="1"/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A74E-E4A2-4B8F-8755-BC56185544A9}">
  <sheetPr codeName="Sheet16"/>
  <dimension ref="A1:F7"/>
  <sheetViews>
    <sheetView workbookViewId="0">
      <selection activeCell="E6" sqref="E6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</row>
    <row r="2" spans="1:6" x14ac:dyDescent="0.25">
      <c r="A2" t="s">
        <v>35</v>
      </c>
      <c r="C2" t="s">
        <v>36</v>
      </c>
      <c r="E2" t="s">
        <v>43</v>
      </c>
    </row>
    <row r="3" spans="1:6" x14ac:dyDescent="0.25">
      <c r="A3" t="s">
        <v>37</v>
      </c>
      <c r="C3">
        <v>1</v>
      </c>
      <c r="E3" t="s">
        <v>45</v>
      </c>
    </row>
    <row r="4" spans="1:6" x14ac:dyDescent="0.25">
      <c r="A4" t="s">
        <v>38</v>
      </c>
      <c r="E4" t="s">
        <v>44</v>
      </c>
    </row>
    <row r="5" spans="1:6" x14ac:dyDescent="0.25">
      <c r="A5" t="s">
        <v>39</v>
      </c>
      <c r="E5">
        <v>3</v>
      </c>
    </row>
    <row r="6" spans="1:6" x14ac:dyDescent="0.25">
      <c r="A6" t="s">
        <v>40</v>
      </c>
    </row>
    <row r="7" spans="1:6" x14ac:dyDescent="0.25">
      <c r="A7">
        <v>5</v>
      </c>
    </row>
  </sheetData>
  <conditionalFormatting sqref="A2:B7">
    <cfRule type="uniqueValues" dxfId="9" priority="3"/>
  </conditionalFormatting>
  <conditionalFormatting sqref="C2:D3">
    <cfRule type="uniqueValues" dxfId="8" priority="2"/>
  </conditionalFormatting>
  <conditionalFormatting sqref="E2:F5">
    <cfRule type="uniqueValues" dxfId="7" priority="1"/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AE792-FA60-443F-9CC9-AB0A5BB03F54}">
  <sheetPr codeName="Sheet17"/>
  <dimension ref="A1:H7"/>
  <sheetViews>
    <sheetView workbookViewId="0">
      <selection activeCell="G2" sqref="G2:H3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8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  <c r="G1" t="s">
        <v>14</v>
      </c>
      <c r="H1" t="s">
        <v>3</v>
      </c>
    </row>
    <row r="2" spans="1:8" x14ac:dyDescent="0.25">
      <c r="A2" t="s">
        <v>35</v>
      </c>
      <c r="C2" t="s">
        <v>36</v>
      </c>
      <c r="E2" t="s">
        <v>48</v>
      </c>
      <c r="G2" t="s">
        <v>44</v>
      </c>
    </row>
    <row r="3" spans="1:8" x14ac:dyDescent="0.25">
      <c r="A3" t="s">
        <v>37</v>
      </c>
      <c r="C3">
        <v>1</v>
      </c>
      <c r="E3" t="s">
        <v>43</v>
      </c>
      <c r="G3">
        <v>1</v>
      </c>
    </row>
    <row r="4" spans="1:8" x14ac:dyDescent="0.25">
      <c r="A4" t="s">
        <v>38</v>
      </c>
      <c r="E4" t="s">
        <v>45</v>
      </c>
    </row>
    <row r="5" spans="1:8" x14ac:dyDescent="0.25">
      <c r="A5" t="s">
        <v>39</v>
      </c>
      <c r="E5">
        <v>3</v>
      </c>
    </row>
    <row r="6" spans="1:8" x14ac:dyDescent="0.25">
      <c r="A6" t="s">
        <v>40</v>
      </c>
    </row>
    <row r="7" spans="1:8" x14ac:dyDescent="0.25">
      <c r="A7">
        <v>5</v>
      </c>
    </row>
  </sheetData>
  <conditionalFormatting sqref="A2:B7">
    <cfRule type="uniqueValues" dxfId="6" priority="4"/>
  </conditionalFormatting>
  <conditionalFormatting sqref="C2:D3">
    <cfRule type="uniqueValues" dxfId="5" priority="3"/>
  </conditionalFormatting>
  <conditionalFormatting sqref="E2:F5">
    <cfRule type="uniqueValues" dxfId="4" priority="2"/>
  </conditionalFormatting>
  <conditionalFormatting sqref="G2:H3">
    <cfRule type="uniqueValues" dxfId="3" priority="1"/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6B52B-7F40-4F3A-ABD2-A1EDC5CA5454}">
  <sheetPr codeName="Sheet18"/>
  <dimension ref="A1:F7"/>
  <sheetViews>
    <sheetView workbookViewId="0">
      <selection activeCell="E10" sqref="E10"/>
    </sheetView>
  </sheetViews>
  <sheetFormatPr defaultRowHeight="15" x14ac:dyDescent="0.25"/>
  <cols>
    <col min="1" max="1" width="19.7109375" bestFit="1" customWidth="1" collapsed="1"/>
    <col min="2" max="2" width="24" customWidth="1" collapsed="1"/>
    <col min="3" max="3" width="18.5703125" bestFit="1" customWidth="1" collapsed="1"/>
    <col min="4" max="4" width="19.85546875" bestFit="1" customWidth="1" collapsed="1"/>
    <col min="5" max="6" width="29.7109375" bestFit="1" customWidth="1" collapsed="1"/>
  </cols>
  <sheetData>
    <row r="1" spans="1:6" x14ac:dyDescent="0.25">
      <c r="A1" t="s">
        <v>13</v>
      </c>
      <c r="B1" t="s">
        <v>3</v>
      </c>
      <c r="C1" t="s">
        <v>14</v>
      </c>
      <c r="D1" t="s">
        <v>3</v>
      </c>
      <c r="E1" t="s">
        <v>13</v>
      </c>
      <c r="F1" t="s">
        <v>3</v>
      </c>
    </row>
    <row r="2" spans="1:6" x14ac:dyDescent="0.25">
      <c r="A2" t="s">
        <v>35</v>
      </c>
      <c r="C2" t="s">
        <v>36</v>
      </c>
      <c r="E2" t="s">
        <v>43</v>
      </c>
    </row>
    <row r="3" spans="1:6" x14ac:dyDescent="0.25">
      <c r="A3" t="s">
        <v>37</v>
      </c>
      <c r="C3">
        <v>1</v>
      </c>
      <c r="E3" t="s">
        <v>45</v>
      </c>
    </row>
    <row r="4" spans="1:6" x14ac:dyDescent="0.25">
      <c r="A4" t="s">
        <v>38</v>
      </c>
      <c r="E4" t="s">
        <v>44</v>
      </c>
    </row>
    <row r="5" spans="1:6" x14ac:dyDescent="0.25">
      <c r="A5" t="s">
        <v>39</v>
      </c>
      <c r="E5">
        <v>3</v>
      </c>
    </row>
    <row r="6" spans="1:6" x14ac:dyDescent="0.25">
      <c r="A6" t="s">
        <v>40</v>
      </c>
    </row>
    <row r="7" spans="1:6" x14ac:dyDescent="0.25">
      <c r="A7">
        <v>5</v>
      </c>
    </row>
  </sheetData>
  <conditionalFormatting sqref="A2:B7">
    <cfRule type="uniqueValues" dxfId="2" priority="3"/>
  </conditionalFormatting>
  <conditionalFormatting sqref="C2:D3">
    <cfRule type="uniqueValues" dxfId="1" priority="2"/>
  </conditionalFormatting>
  <conditionalFormatting sqref="E2:F5">
    <cfRule type="uniqu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Overall Status</vt:lpstr>
      <vt:lpstr>Account_PE</vt:lpstr>
      <vt:lpstr>Case_PE</vt:lpstr>
      <vt:lpstr>Task_PE</vt:lpstr>
      <vt:lpstr>Account_Mentor</vt:lpstr>
      <vt:lpstr>Case_Mentor</vt:lpstr>
      <vt:lpstr>Task_Mentor</vt:lpstr>
      <vt:lpstr>Account_Retention</vt:lpstr>
      <vt:lpstr>Case_Retention</vt:lpstr>
      <vt:lpstr>Account_RetentionM</vt:lpstr>
      <vt:lpstr>Case_RetentionM</vt:lpstr>
      <vt:lpstr>Account_BLC</vt:lpstr>
      <vt:lpstr>Case_BLC</vt:lpstr>
      <vt:lpstr>Account_CS</vt:lpstr>
      <vt:lpstr>Case_CS</vt:lpstr>
      <vt:lpstr>Account_PS</vt:lpstr>
      <vt:lpstr>Case_PS</vt:lpstr>
      <vt:lpstr>Case_Logistic</vt:lpstr>
      <vt:lpstr>Case_OPT</vt:lpstr>
      <vt:lpstr>Case_OCT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Tnluser</dc:creator>
  <cp:lastModifiedBy>Tnluser</cp:lastModifiedBy>
  <dcterms:created xsi:type="dcterms:W3CDTF">2022-07-01T05:55:52Z</dcterms:created>
  <dcterms:modified xsi:type="dcterms:W3CDTF">2022-07-29T04:23:11Z</dcterms:modified>
</cp:coreProperties>
</file>